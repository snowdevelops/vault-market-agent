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ustavo.alves\Downloads\"/>
    </mc:Choice>
  </mc:AlternateContent>
  <xr:revisionPtr revIDLastSave="0" documentId="8_{BAFD59E9-CF0B-4EAA-B17B-2ECB183D528E}" xr6:coauthVersionLast="47" xr6:coauthVersionMax="47" xr10:uidLastSave="{00000000-0000-0000-0000-000000000000}"/>
  <bookViews>
    <workbookView xWindow="-120" yWindow="-120" windowWidth="29040" windowHeight="15720" xr2:uid="{014E00D7-5A45-48C8-AE45-417B428DDB1F}"/>
  </bookViews>
  <sheets>
    <sheet name="AGOSTO_2026" sheetId="1" r:id="rId1"/>
  </sheets>
  <definedNames>
    <definedName name="_xlnm._FilterDatabase" localSheetId="0" hidden="1">AGOSTO_2026!$A$1:$X$5576</definedName>
    <definedName name="M0411O6___frota_por_uf_tipo" localSheetId="0">AGOSTO_2026!$A$4:$X$5576</definedName>
    <definedName name="_xlnm.Print_Titles" localSheetId="0">AGOSTO_2026!$1:$3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<sst xmlns="http://schemas.openxmlformats.org/spreadsheetml/2006/main" count="32" uniqueCount="32">
  <si>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Frota de veículos, por tipo e com placa, segundo os Municípios da Federação - AGOSTO/2026</t>
  </si>
  <si>
    <t>UF</t>
  </si>
  <si>
    <t>MUNICIPIO</t>
  </si>
  <si>
    <t>TOTAL</t>
  </si>
  <si>
    <t>AUTOMOVEL</t>
  </si>
  <si>
    <t>BONDE</t>
  </si>
  <si>
    <t>CAMINHAO</t>
  </si>
  <si>
    <t>CAMINHAO TRATOR</t>
  </si>
  <si>
    <t>CAMINHONETE</t>
  </si>
  <si>
    <t>CAMIONETA</t>
  </si>
  <si>
    <t>CHASSI PLATAF</t>
  </si>
  <si>
    <t>CICLOMOTOR</t>
  </si>
  <si>
    <t>MICRO-ONIBUS</t>
  </si>
  <si>
    <t>MOTOCICLETA</t>
  </si>
  <si>
    <t>MOTONETA</t>
  </si>
  <si>
    <t>ONIBUS</t>
  </si>
  <si>
    <t>QUADRICICLO</t>
  </si>
  <si>
    <t>REBOQUE</t>
  </si>
  <si>
    <t>SEMI-REBOQUE</t>
  </si>
  <si>
    <t>SIDE-CAR</t>
  </si>
  <si>
    <t>OUTROS</t>
  </si>
  <si>
    <t>TRATOR ESTEI</t>
  </si>
  <si>
    <t>TRATOR RODAS</t>
  </si>
  <si>
    <t>TRICICLO</t>
  </si>
  <si>
    <t>UTILITARIO</t>
  </si>
  <si>
    <t>AC</t>
  </si>
  <si>
    <t>ACRELANDIA</t>
  </si>
  <si>
    <t>MG</t>
  </si>
  <si>
    <t>UBERABA</t>
  </si>
  <si>
    <t>UBERLANDIA</t>
  </si>
  <si>
    <t>SP</t>
  </si>
  <si>
    <t>SAO PAULO</t>
  </si>
</sst>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19B2-C63B-43CC-8BAA-A9214D44AB69}">
  <dimension ref="A1:X5357"/>
  <sheetViews>
    <sheetView showGridLines="0" tabSelected="1" workbookViewId="0">
      <selection sqref="A1:N1"/>
    </sheetView>
  </sheetViews>
  <sheetFormatPr defaultColWidth="34.85546875" defaultRowHeight="11.25" x14ac:dyDescent="0.2"/>
  <cols>
    <col min="1" max="1" width="4" style="1" bestFit="1" customWidth="1"/>
    <col min="2" max="2" width="37" style="1" bestFit="1" customWidth="1"/>
    <col min="3" max="3" width="12.28515625" style="1" bestFit="1" customWidth="1"/>
    <col min="4" max="4" width="12.5703125" style="1" bestFit="1" customWidth="1"/>
    <col min="5" max="5" width="7.5703125" style="1" bestFit="1" customWidth="1"/>
    <col min="6" max="6" width="10.85546875" style="1" bestFit="1" customWidth="1"/>
    <col min="7" max="7" width="19" style="1" bestFit="1" customWidth="1"/>
    <col min="8" max="8" width="14.5703125" style="1" bestFit="1" customWidth="1"/>
    <col min="9" max="9" width="11.85546875" style="1" bestFit="1" customWidth="1"/>
    <col min="10" max="10" width="15.5703125" style="1" bestFit="1" customWidth="1"/>
    <col min="11" max="11" width="13.28515625" style="1" bestFit="1" customWidth="1"/>
    <col min="12" max="12" width="14.7109375" style="1" bestFit="1" customWidth="1"/>
    <col min="13" max="13" width="14.140625" style="1" bestFit="1" customWidth="1"/>
    <col min="14" max="14" width="11.28515625" style="1" bestFit="1" customWidth="1"/>
    <col min="15" max="15" width="8" style="1" bestFit="1" customWidth="1"/>
    <col min="16" max="16" width="13.5703125" style="1" customWidth="1"/>
    <col min="17" max="17" width="10.28515625" style="1" bestFit="1" customWidth="1"/>
    <col min="18" max="18" width="15.5703125" style="1" bestFit="1" customWidth="1"/>
    <col min="19" max="19" width="9.7109375" style="1" customWidth="1"/>
    <col min="20" max="20" width="8.7109375" style="1" bestFit="1" customWidth="1"/>
    <col min="21" max="21" width="14.28515625" style="1" bestFit="1" customWidth="1"/>
    <col min="22" max="22" width="15.5703125" style="1" bestFit="1" customWidth="1"/>
    <col min="23" max="23" width="9.140625" style="1" bestFit="1" customWidth="1"/>
    <col min="24" max="24" width="10.5703125" style="1" bestFit="1" customWidth="1"/>
    <col min="25" max="16384" width="34.85546875" style="1"/>
  </cols>
  <sheetData>
    <row r="1" spans="1:24" ht="12.7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24" ht="12.75" x14ac:dyDescent="0.2">
      <c r="C2" s="4">
        <f>SUM(C4:C6576)</f>
        <v>132827716</v>
      </c>
    </row>
    <row r="3" spans="1:24" ht="30" customHeight="1" x14ac:dyDescent="0.2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</row>
    <row r="4" spans="1:24" ht="12.75" x14ac:dyDescent="0.2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</row>
    <row r="5" spans="1:24" ht="12.75" x14ac:dyDescent="0.2">
      <c r="A5" t="s">
        <v>25</v>
      </c>
      <c r="B5" t="s">
        <v>26</v>
      </c>
      <c r="C5">
        <v>8937</v>
      </c>
      <c r="D5">
        <v>1991</v>
      </c>
      <c r="E5">
        <v>0</v>
      </c>
      <c r="F5">
        <v>431</v>
      </c>
      <c r="G5">
        <v>40</v>
      </c>
      <c r="H5">
        <v>1055</v>
      </c>
      <c r="I5">
        <v>100</v>
      </c>
      <c r="J5">
        <v>0</v>
      </c>
      <c r="K5">
        <v>7</v>
      </c>
      <c r="L5">
        <v>15</v>
      </c>
      <c r="M5">
        <v>4413</v>
      </c>
      <c r="N5">
        <v>603</v>
      </c>
      <c r="O5">
        <v>50</v>
      </c>
      <c r="P5">
        <v>0</v>
      </c>
      <c r="Q5">
        <v>139</v>
      </c>
      <c r="R5">
        <v>61</v>
      </c>
      <c r="S5">
        <v>0</v>
      </c>
      <c r="T5">
        <v>3</v>
      </c>
      <c r="U5">
        <v>0</v>
      </c>
      <c r="V5">
        <v>0</v>
      </c>
      <c r="W5">
        <v>1</v>
      </c>
      <c r="X5">
        <v>28</v>
      </c>
    </row>
    <row r="2173" spans="1:24" ht="12.75" x14ac:dyDescent="0.2">
      <c r="A2173" t="s">
        <v>27</v>
      </c>
      <c r="B2173" t="s">
        <v>28</v>
      </c>
      <c r="C2173">
        <v>271348</v>
      </c>
      <c r="D2173">
        <v>139889</v>
      </c>
      <c r="E2173">
        <v>0</v>
      </c>
      <c r="F2173">
        <v>6510</v>
      </c>
      <c r="G2173">
        <v>2527</v>
      </c>
      <c r="H2173">
        <v>22215</v>
      </c>
      <c r="I2173">
        <v>9847</v>
      </c>
      <c r="J2173">
        <v>0</v>
      </c>
      <c r="K2173">
        <v>4273</v>
      </c>
      <c r="L2173">
        <v>1303</v>
      </c>
      <c r="M2173">
        <v>54682</v>
      </c>
      <c r="N2173">
        <v>13947</v>
      </c>
      <c r="O2173">
        <v>1391</v>
      </c>
      <c r="P2173">
        <v>1</v>
      </c>
      <c r="Q2173">
        <v>7152</v>
      </c>
      <c r="R2173">
        <v>3079</v>
      </c>
      <c r="S2173">
        <v>44</v>
      </c>
      <c r="T2173">
        <v>251</v>
      </c>
      <c r="U2173">
        <v>0</v>
      </c>
      <c r="V2173">
        <v>58</v>
      </c>
      <c r="W2173">
        <v>101</v>
      </c>
      <c r="X2173">
        <v>4078</v>
      </c>
    </row>
    <row r="2174" spans="1:24" ht="12.75" x14ac:dyDescent="0.2">
      <c r="A2174" t="s">
        <v>27</v>
      </c>
      <c r="B2174" t="s">
        <v>29</v>
      </c>
      <c r="C2174">
        <v>567215</v>
      </c>
      <c r="D2174">
        <v>285025</v>
      </c>
      <c r="E2174">
        <v>0</v>
      </c>
      <c r="F2174">
        <v>13158</v>
      </c>
      <c r="G2174">
        <v>6349</v>
      </c>
      <c r="H2174">
        <v>49408</v>
      </c>
      <c r="I2174">
        <v>20563</v>
      </c>
      <c r="J2174">
        <v>0</v>
      </c>
      <c r="K2174">
        <v>3075</v>
      </c>
      <c r="L2174">
        <v>1621</v>
      </c>
      <c r="M2174">
        <v>117351</v>
      </c>
      <c r="N2174">
        <v>24741</v>
      </c>
      <c r="O2174">
        <v>1972</v>
      </c>
      <c r="P2174">
        <v>2</v>
      </c>
      <c r="Q2174">
        <v>23344</v>
      </c>
      <c r="R2174">
        <v>8445</v>
      </c>
      <c r="S2174">
        <v>6</v>
      </c>
      <c r="T2174">
        <v>607</v>
      </c>
      <c r="U2174">
        <v>15</v>
      </c>
      <c r="V2174">
        <v>392</v>
      </c>
      <c r="W2174">
        <v>255</v>
      </c>
      <c r="X2174">
        <v>10886</v>
      </c>
    </row>
    <row r="5357" spans="1:24" ht="12.75" x14ac:dyDescent="0.2">
      <c r="A5357" t="s">
        <v>30</v>
      </c>
      <c r="B5357" t="s">
        <v>31</v>
      </c>
      <c r="C5357">
        <v>10138862</v>
      </c>
      <c r="D5357">
        <v>6460191</v>
      </c>
      <c r="E5357">
        <v>3</v>
      </c>
      <c r="F5357">
        <v>148752</v>
      </c>
      <c r="G5357">
        <v>40768</v>
      </c>
      <c r="H5357">
        <v>560699</v>
      </c>
      <c r="I5357">
        <v>655926</v>
      </c>
      <c r="J5357">
        <v>10</v>
      </c>
      <c r="K5357">
        <v>8193</v>
      </c>
      <c r="L5357">
        <v>41371</v>
      </c>
      <c r="M5357">
        <v>1393681</v>
      </c>
      <c r="N5357">
        <v>312312</v>
      </c>
      <c r="O5357">
        <v>54683</v>
      </c>
      <c r="P5357">
        <v>115</v>
      </c>
      <c r="Q5357">
        <v>73375</v>
      </c>
      <c r="R5357">
        <v>51013</v>
      </c>
      <c r="S5357">
        <v>151</v>
      </c>
      <c r="T5357">
        <v>39467</v>
      </c>
      <c r="U5357">
        <v>50</v>
      </c>
      <c r="V5357">
        <v>3348</v>
      </c>
      <c r="W5357">
        <v>2258</v>
      </c>
      <c r="X5357">
        <v>292496</v>
      </c>
    </row>
  </sheetData>
</worksheet>
</file>